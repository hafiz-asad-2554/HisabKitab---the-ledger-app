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 File\PROJECTCS\expense mgr\files\"/>
    </mc:Choice>
  </mc:AlternateContent>
  <xr:revisionPtr revIDLastSave="0" documentId="8_{204E348B-116A-471F-A45F-4F4CD7E59486}" xr6:coauthVersionLast="47" xr6:coauthVersionMax="47" xr10:uidLastSave="{00000000-0000-0000-0000-000000000000}"/>
  <bookViews>
    <workbookView xWindow="-120" yWindow="-120" windowWidth="29040" windowHeight="15720" tabRatio="665" activeTab="1" xr2:uid="{00000000-000D-0000-FFFF-FFFF00000000}"/>
  </bookViews>
  <sheets>
    <sheet name="Summary Dashboard" sheetId="1" r:id="rId1"/>
    <sheet name="Hajji Talib" sheetId="3" r:id="rId2"/>
    <sheet name="Chacha Muhammad Ali" sheetId="4" r:id="rId3"/>
    <sheet name="Mafo" sheetId="5" r:id="rId4"/>
    <sheet name="Salma Phopho" sheetId="6" r:id="rId5"/>
    <sheet name="Shahid Bhai" sheetId="7" r:id="rId6"/>
    <sheet name="Mamu Arif" sheetId="8" r:id="rId7"/>
    <sheet name="Rubina Phuphi" sheetId="9" r:id="rId8"/>
    <sheet name="Qurban" sheetId="10" r:id="rId9"/>
    <sheet name="Chacha Muhammad Baig Ledger" sheetId="15" r:id="rId10"/>
    <sheet name="Shahshah Sajjad" sheetId="11" r:id="rId11"/>
    <sheet name="Muhammad Tahoor" sheetId="12" r:id="rId12"/>
    <sheet name="Rana Abdulrehma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2" i="1"/>
  <c r="F13" i="1"/>
  <c r="E8" i="1"/>
  <c r="E9" i="1" s="1"/>
  <c r="E10" i="1" s="1"/>
  <c r="E11" i="1" s="1"/>
  <c r="E12" i="1" s="1"/>
  <c r="E13" i="1" s="1"/>
  <c r="E14" i="1" s="1"/>
  <c r="E15" i="1" s="1"/>
  <c r="E4" i="15"/>
  <c r="E5" i="15" s="1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C45" i="15"/>
  <c r="E47" i="15" s="1"/>
  <c r="D46" i="15"/>
  <c r="E4" i="13"/>
  <c r="E5" i="13"/>
  <c r="E6" i="13"/>
  <c r="E7" i="13"/>
  <c r="E8" i="13"/>
  <c r="E9" i="13"/>
  <c r="E10" i="13"/>
  <c r="E11" i="13"/>
  <c r="E12" i="13"/>
  <c r="E13" i="13"/>
  <c r="E14" i="13"/>
  <c r="C15" i="13"/>
  <c r="D15" i="13"/>
  <c r="E15" i="13"/>
  <c r="E20" i="15" l="1"/>
  <c r="E21" i="15" s="1"/>
  <c r="E22" i="15" s="1"/>
  <c r="E23" i="15" s="1"/>
  <c r="E24" i="15" s="1"/>
  <c r="E25" i="15" s="1"/>
  <c r="E26" i="15" s="1"/>
  <c r="E27" i="15" s="1"/>
  <c r="E28" i="15" s="1"/>
  <c r="E29" i="15"/>
  <c r="E30" i="15" s="1"/>
  <c r="E31" i="15" s="1"/>
  <c r="E32" i="15" s="1"/>
  <c r="E33" i="15" s="1"/>
  <c r="E34" i="15" s="1"/>
  <c r="E35" i="15" s="1"/>
  <c r="E36" i="15" s="1"/>
  <c r="E38" i="15" s="1"/>
  <c r="E39" i="15" s="1"/>
  <c r="E40" i="15" s="1"/>
  <c r="E41" i="15" s="1"/>
  <c r="E42" i="15" s="1"/>
  <c r="E43" i="15" s="1"/>
  <c r="E44" i="15" s="1"/>
  <c r="D15" i="12"/>
  <c r="C15" i="12"/>
  <c r="E15" i="12" s="1"/>
  <c r="E14" i="12"/>
  <c r="E13" i="12"/>
  <c r="E12" i="12"/>
  <c r="E11" i="12"/>
  <c r="E10" i="12"/>
  <c r="E9" i="12"/>
  <c r="E8" i="12"/>
  <c r="E7" i="12"/>
  <c r="E6" i="12"/>
  <c r="E5" i="12"/>
  <c r="E4" i="12"/>
  <c r="D15" i="11"/>
  <c r="C15" i="11"/>
  <c r="E15" i="11" s="1"/>
  <c r="E14" i="11"/>
  <c r="E13" i="11"/>
  <c r="E12" i="11"/>
  <c r="E11" i="11"/>
  <c r="E10" i="11"/>
  <c r="E9" i="11"/>
  <c r="E8" i="11"/>
  <c r="E7" i="11"/>
  <c r="E6" i="11"/>
  <c r="E5" i="11"/>
  <c r="E4" i="11"/>
  <c r="D15" i="10"/>
  <c r="C15" i="10"/>
  <c r="E15" i="10" s="1"/>
  <c r="E14" i="10"/>
  <c r="E13" i="10"/>
  <c r="E12" i="10"/>
  <c r="E11" i="10"/>
  <c r="E10" i="10"/>
  <c r="E9" i="10"/>
  <c r="E8" i="10"/>
  <c r="E7" i="10"/>
  <c r="E6" i="10"/>
  <c r="E5" i="10"/>
  <c r="E4" i="10"/>
  <c r="D15" i="9"/>
  <c r="C15" i="9"/>
  <c r="E15" i="9" s="1"/>
  <c r="E14" i="9"/>
  <c r="E13" i="9"/>
  <c r="E12" i="9"/>
  <c r="E11" i="9"/>
  <c r="E10" i="9"/>
  <c r="E9" i="9"/>
  <c r="E8" i="9"/>
  <c r="E7" i="9"/>
  <c r="E6" i="9"/>
  <c r="E5" i="9"/>
  <c r="E4" i="9"/>
  <c r="E15" i="8"/>
  <c r="D15" i="8"/>
  <c r="C15" i="8"/>
  <c r="E14" i="8"/>
  <c r="E13" i="8"/>
  <c r="E12" i="8"/>
  <c r="E11" i="8"/>
  <c r="E10" i="8"/>
  <c r="E9" i="8"/>
  <c r="E8" i="8"/>
  <c r="E7" i="8"/>
  <c r="E6" i="8"/>
  <c r="E5" i="8"/>
  <c r="E4" i="8"/>
  <c r="E15" i="7"/>
  <c r="D15" i="7"/>
  <c r="C15" i="7"/>
  <c r="E14" i="7"/>
  <c r="E13" i="7"/>
  <c r="E12" i="7"/>
  <c r="E11" i="7"/>
  <c r="E10" i="7"/>
  <c r="E9" i="7"/>
  <c r="E8" i="7"/>
  <c r="E7" i="7"/>
  <c r="E6" i="7"/>
  <c r="E5" i="7"/>
  <c r="E4" i="7"/>
  <c r="D15" i="6"/>
  <c r="C15" i="6"/>
  <c r="E15" i="6" s="1"/>
  <c r="E14" i="6"/>
  <c r="E13" i="6"/>
  <c r="E12" i="6"/>
  <c r="E11" i="6"/>
  <c r="E10" i="6"/>
  <c r="E9" i="6"/>
  <c r="E8" i="6"/>
  <c r="E7" i="6"/>
  <c r="E6" i="6"/>
  <c r="E5" i="6"/>
  <c r="E4" i="6"/>
  <c r="D15" i="5"/>
  <c r="C15" i="5"/>
  <c r="E15" i="5" s="1"/>
  <c r="E14" i="5"/>
  <c r="E13" i="5"/>
  <c r="E12" i="5"/>
  <c r="E11" i="5"/>
  <c r="E10" i="5"/>
  <c r="E9" i="5"/>
  <c r="E8" i="5"/>
  <c r="E7" i="5"/>
  <c r="E6" i="5"/>
  <c r="E5" i="5"/>
  <c r="E4" i="5"/>
  <c r="E15" i="4"/>
  <c r="D15" i="4"/>
  <c r="C15" i="4"/>
  <c r="E14" i="4"/>
  <c r="E13" i="4"/>
  <c r="E12" i="4"/>
  <c r="E11" i="4"/>
  <c r="E10" i="4"/>
  <c r="E9" i="4"/>
  <c r="E8" i="4"/>
  <c r="E7" i="4"/>
  <c r="E6" i="4"/>
  <c r="E5" i="4"/>
  <c r="E4" i="4"/>
  <c r="E15" i="3"/>
  <c r="D15" i="3"/>
  <c r="C15" i="3"/>
  <c r="E14" i="3"/>
  <c r="E13" i="3"/>
  <c r="E12" i="3"/>
  <c r="E11" i="3"/>
  <c r="E10" i="3"/>
  <c r="E9" i="3"/>
  <c r="E8" i="3"/>
  <c r="E7" i="3"/>
  <c r="E6" i="3"/>
  <c r="E5" i="3"/>
  <c r="E4" i="3"/>
  <c r="D18" i="1"/>
  <c r="C18" i="1"/>
  <c r="E4" i="1"/>
  <c r="E18" i="1" l="1"/>
  <c r="F4" i="1"/>
  <c r="E5" i="1"/>
  <c r="E6" i="1" l="1"/>
  <c r="F5" i="1"/>
  <c r="E7" i="1" l="1"/>
  <c r="F6" i="1"/>
  <c r="F7" i="1" l="1"/>
  <c r="F8" i="1" l="1"/>
  <c r="F9" i="1" l="1"/>
  <c r="F10" i="1" l="1"/>
  <c r="F11" i="1" l="1"/>
</calcChain>
</file>

<file path=xl/sharedStrings.xml><?xml version="1.0" encoding="utf-8"?>
<sst xmlns="http://schemas.openxmlformats.org/spreadsheetml/2006/main" count="220" uniqueCount="125">
  <si>
    <t>Master Financial Check &amp; Balance Dashboard</t>
  </si>
  <si>
    <t>Ledger Name</t>
  </si>
  <si>
    <t>Category / Description</t>
  </si>
  <si>
    <t>Total Given (Green) [Rs.]</t>
  </si>
  <si>
    <t>Total Taken (Red) [Rs.]</t>
  </si>
  <si>
    <t>Net Balance [Rs.]</t>
  </si>
  <si>
    <t>Status</t>
  </si>
  <si>
    <t>Hajji Talib</t>
  </si>
  <si>
    <t>Personal/Business</t>
  </si>
  <si>
    <t>Chacha Muhammad Ali</t>
  </si>
  <si>
    <t>Gandum Sarso</t>
  </si>
  <si>
    <t>Mafo</t>
  </si>
  <si>
    <t>Thyka or Pichla</t>
  </si>
  <si>
    <t>Salma Phopho</t>
  </si>
  <si>
    <t>Thyka or Pichhla</t>
  </si>
  <si>
    <t>Shahid Bhai</t>
  </si>
  <si>
    <t>Personal Loan</t>
  </si>
  <si>
    <t>Mamu Arif</t>
  </si>
  <si>
    <t>Rubina Phuphi</t>
  </si>
  <si>
    <t>Bakaya Thyka</t>
  </si>
  <si>
    <t>Qurban</t>
  </si>
  <si>
    <t>Merchant/Credit</t>
  </si>
  <si>
    <t>Shahshah Sajjad (Mr. King)</t>
  </si>
  <si>
    <t>Technician/Vendor</t>
  </si>
  <si>
    <t>Muhammad Tahoor</t>
  </si>
  <si>
    <t>Rana Abdulrehman</t>
  </si>
  <si>
    <t>Total Summary Balance</t>
  </si>
  <si>
    <t>Account Statement Ledger - Hajji Talib</t>
  </si>
  <si>
    <t>Transaction Date</t>
  </si>
  <si>
    <t>Description / Reason</t>
  </si>
  <si>
    <t>Given (You Paid) [Rs.]</t>
  </si>
  <si>
    <t>Taken (You Borrowed) [Rs.]</t>
  </si>
  <si>
    <t>Running Balance [Rs.]</t>
  </si>
  <si>
    <t>2026-07-31</t>
  </si>
  <si>
    <t>Initial recorded amount for Personal/Business</t>
  </si>
  <si>
    <t>TOTAL CHECK &amp; BALANCE</t>
  </si>
  <si>
    <t>Account Statement Ledger - Chacha Muhammad Ali</t>
  </si>
  <si>
    <t>Initial recorded amount for Gandum Sarso</t>
  </si>
  <si>
    <t>Account Statement Ledger - Mafo</t>
  </si>
  <si>
    <t>Initial recorded amount for Thyka or Pichla</t>
  </si>
  <si>
    <t>Account Statement Ledger - Salma Phopho</t>
  </si>
  <si>
    <t>Initial recorded amount for Thyka or Pichhla</t>
  </si>
  <si>
    <t>Account Statement Ledger - Shahid Bhai</t>
  </si>
  <si>
    <t>Initial recorded amount for Personal Loan</t>
  </si>
  <si>
    <t>Account Statement Ledger - Mamu Arif</t>
  </si>
  <si>
    <t>Account Statement Ledger - Rubina Phuphi</t>
  </si>
  <si>
    <t>Initial recorded amount for Bakaya Thyka</t>
  </si>
  <si>
    <t>Account Statement Ledger - Qurban</t>
  </si>
  <si>
    <t>Initial recorded amount for Merchant/Credit</t>
  </si>
  <si>
    <t>Account Statement Ledger - Shahshah Sajjad (Mr. King)</t>
  </si>
  <si>
    <t>Initial recorded amount for Technician/Vendor</t>
  </si>
  <si>
    <t>Account Statement Ledger - Muhammad Tahoor</t>
  </si>
  <si>
    <t>Account Statement Ledger - Rana Abdulrehman</t>
  </si>
  <si>
    <t>Date</t>
  </si>
  <si>
    <t>Description</t>
  </si>
  <si>
    <t>Given / Debit (Dr)</t>
  </si>
  <si>
    <t>Taken / Credit (Cr)</t>
  </si>
  <si>
    <t>Running Balance</t>
  </si>
  <si>
    <t>2025</t>
  </si>
  <si>
    <t>todi sale ki (jo chacha baig ny mary dyny hn)</t>
  </si>
  <si>
    <t>---</t>
  </si>
  <si>
    <t>eid ul azha pr ly k gya mjsy , kharcha k name sy</t>
  </si>
  <si>
    <t>05/07/2025</t>
  </si>
  <si>
    <t>ghaas wali spray golafoset (per pack rs. 2300) + super gazonar (per pack rs. 1500)</t>
  </si>
  <si>
    <t>24/07/2025</t>
  </si>
  <si>
    <t>2 spray wali boom lgi (faisal jabbar ladia wali per boom 2000)</t>
  </si>
  <si>
    <t>28/07/2025</t>
  </si>
  <si>
    <t>ghas wali spray (per pack 1100)</t>
  </si>
  <si>
    <t>07/08/2025</t>
  </si>
  <si>
    <t>spray super gzonar + kam (per pack 1500)</t>
  </si>
  <si>
    <t>08/08/2025</t>
  </si>
  <si>
    <t>2 boom spray (Nadeem ghouri wali)</t>
  </si>
  <si>
    <t>1 boom spray(sham ko Nadeem ghouri wali)</t>
  </si>
  <si>
    <t>1st chunai ka hissa jo chacha ny dyna hy</t>
  </si>
  <si>
    <t>18/08/2025</t>
  </si>
  <si>
    <t>6-15 cotton sale hoi per 40kg rate 7520 (us my sy chacha ka 8th hissa jo many dyna hy)</t>
  </si>
  <si>
    <t>23/05/2025</t>
  </si>
  <si>
    <t>12-00 cotton sale hoi per 40kg rate 7900 (us my sy chacha ka 8th hissa jo many dyna hy )</t>
  </si>
  <si>
    <t>27/08/2025</t>
  </si>
  <si>
    <t>cash chacha baig k ghr pr my dy k aya tha</t>
  </si>
  <si>
    <t>28/08/2025</t>
  </si>
  <si>
    <t>1 boom spray (Nadeem ghoury wali)</t>
  </si>
  <si>
    <t>faisal sy boom k paisy kam krway thy , jo ab chachy ko dyny hn</t>
  </si>
  <si>
    <t>10/09/2025</t>
  </si>
  <si>
    <t>choniyo ka 8th hissa jo chacha ny dyny hn</t>
  </si>
  <si>
    <t>06/10/2025</t>
  </si>
  <si>
    <t>choniyo ka 8th hissa ko chacha ny dyna hn</t>
  </si>
  <si>
    <t>16/09/2025</t>
  </si>
  <si>
    <t>choniyo ka 8th hisas jo chacha ny dyna hy</t>
  </si>
  <si>
    <t>20/09/2025</t>
  </si>
  <si>
    <t>30-07 cotton sale per 40kg rate 7100</t>
  </si>
  <si>
    <t>----</t>
  </si>
  <si>
    <t>spray super gzonar + kam (per pack 1500) return</t>
  </si>
  <si>
    <t>rent 8th hissa of rikshaw</t>
  </si>
  <si>
    <t>26/09/25</t>
  </si>
  <si>
    <t>3 acer chara k tor pr sale ki chhadiya</t>
  </si>
  <si>
    <t>26/09/2025</t>
  </si>
  <si>
    <t>3 acer chara k tor pr sale ki chhadiya but usny mukammal raqam rakh li</t>
  </si>
  <si>
    <t>2.5 acer chara k tor pr sale ki chhadiya mukammal raqam rakh li</t>
  </si>
  <si>
    <t xml:space="preserve">2.5 acer my sy jo hissa bnta tha wo </t>
  </si>
  <si>
    <t>rikshaw ret 8th part</t>
  </si>
  <si>
    <t>04/10/2025</t>
  </si>
  <si>
    <t>cotton sale hua (19-07) per 40kg rate 8000 (usmy sy chacha ka 8th hissa dyna hy)</t>
  </si>
  <si>
    <t>seed k liyay Rakha (us ka 8000 rate k according ) jo chacha ko dyny hn</t>
  </si>
  <si>
    <t>till ka hisab (jo many dyny hn mtlb taken)</t>
  </si>
  <si>
    <t>milk (taken mtlb jo many dyny hn)</t>
  </si>
  <si>
    <t>rant consition (taken)</t>
  </si>
  <si>
    <t>cash (given)</t>
  </si>
  <si>
    <t>25/10/2025</t>
  </si>
  <si>
    <t>mogi wand fine (given)</t>
  </si>
  <si>
    <t>--- Year 2026 Section ---</t>
  </si>
  <si>
    <t>mastured (sarsu) (8th hissa + katai etc)taken</t>
  </si>
  <si>
    <t>kuttan todi 8th hissa taken</t>
  </si>
  <si>
    <t>advance kuttan todi ly liyay sary k say (given)</t>
  </si>
  <si>
    <t>harvest wheat gandum given</t>
  </si>
  <si>
    <t>gher my jo many sarsu rakhi thi us my sy 8th hissa taken</t>
  </si>
  <si>
    <t>consition taken</t>
  </si>
  <si>
    <t>05/06/2026</t>
  </si>
  <si>
    <t>cash for shadi kharcha + Bijli bill (chachu akram k ہاتھ bhijway khay my )given</t>
  </si>
  <si>
    <t>Total Given (Total Amount you paid/spent for Chacha)</t>
  </si>
  <si>
    <t>Total Taken (Total Share/Amount you owe Chacha)</t>
  </si>
  <si>
    <t>Net Balance (If positive, Chacha owes you. If negative, you owe Chacha)</t>
  </si>
  <si>
    <t>Account Statement Ledger – Chacha Muhammad Baig (Mazara)</t>
  </si>
  <si>
    <t>shoukat feed wala</t>
  </si>
  <si>
    <t>business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</si>
</sst>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&quot;-&quot;"/>
  </numFmts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b/>
      <sz val="11"/>
      <color rgb="FFFFFFFF"/>
      <name val="Arial"/>
    </font>
    <font>
      <b/>
      <sz val="11"/>
      <name val="Arial"/>
    </font>
    <font>
      <b/>
      <sz val="14"/>
      <color rgb="FF1F4E78"/>
      <name val="Arial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6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A4B7C"/>
        <bgColor rgb="FF2A4B7C"/>
      </patternFill>
    </fill>
    <fill>
      <patternFill patternType="solid">
        <fgColor rgb="FFF9F9F9"/>
        <bgColor rgb="FFF9F9F9"/>
      </patternFill>
    </fill>
    <fill>
      <patternFill patternType="solid">
        <fgColor rgb="FFF0F4F1"/>
        <bgColor rgb="FFF0F4F1"/>
      </patternFill>
    </fill>
    <fill>
      <patternFill patternType="solid">
        <fgColor rgb="FFE6EEF8"/>
        <bgColor rgb="FFE6EEF8"/>
      </patternFill>
    </fill>
    <fill>
      <patternFill patternType="solid">
        <fgColor rgb="FF1B365D"/>
        <bgColor rgb="FF1B365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3" fontId="0" fillId="3" borderId="1" xfId="0" applyNumberFormat="1" applyFill="1" applyBorder="1"/>
    <xf numFmtId="3" fontId="0" fillId="4" borderId="1" xfId="0" applyNumberFormat="1" applyFill="1" applyBorder="1"/>
    <xf numFmtId="3" fontId="0" fillId="0" borderId="1" xfId="0" applyNumberFormat="1" applyBorder="1"/>
    <xf numFmtId="0" fontId="3" fillId="0" borderId="2" xfId="0" applyFont="1" applyBorder="1"/>
    <xf numFmtId="0" fontId="0" fillId="0" borderId="2" xfId="0" applyBorder="1"/>
    <xf numFmtId="3" fontId="3" fillId="0" borderId="2" xfId="0" applyNumberFormat="1" applyFont="1" applyBorder="1"/>
    <xf numFmtId="0" fontId="2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3" fontId="6" fillId="6" borderId="3" xfId="0" applyNumberFormat="1" applyFont="1" applyFill="1" applyBorder="1"/>
    <xf numFmtId="0" fontId="6" fillId="6" borderId="3" xfId="0" applyFont="1" applyFill="1" applyBorder="1"/>
    <xf numFmtId="164" fontId="6" fillId="6" borderId="3" xfId="0" applyNumberFormat="1" applyFont="1" applyFill="1" applyBorder="1"/>
    <xf numFmtId="0" fontId="6" fillId="7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left"/>
    </xf>
    <xf numFmtId="0" fontId="6" fillId="7" borderId="3" xfId="0" applyFont="1" applyFill="1" applyBorder="1"/>
    <xf numFmtId="3" fontId="6" fillId="7" borderId="3" xfId="0" applyNumberFormat="1" applyFont="1" applyFill="1" applyBorder="1"/>
    <xf numFmtId="164" fontId="6" fillId="7" borderId="3" xfId="0" applyNumberFormat="1" applyFont="1" applyFill="1" applyBorder="1"/>
    <xf numFmtId="0" fontId="6" fillId="6" borderId="3" xfId="0" quotePrefix="1" applyFont="1" applyFill="1" applyBorder="1" applyAlignment="1">
      <alignment horizontal="center"/>
    </xf>
    <xf numFmtId="14" fontId="6" fillId="6" borderId="3" xfId="0" applyNumberFormat="1" applyFont="1" applyFill="1" applyBorder="1" applyAlignment="1">
      <alignment horizontal="center"/>
    </xf>
    <xf numFmtId="0" fontId="7" fillId="0" borderId="0" xfId="0" applyFont="1"/>
    <xf numFmtId="3" fontId="7" fillId="0" borderId="2" xfId="0" applyNumberFormat="1" applyFont="1" applyBorder="1"/>
    <xf numFmtId="164" fontId="7" fillId="0" borderId="2" xfId="0" applyNumberFormat="1" applyFont="1" applyBorder="1"/>
    <xf numFmtId="3" fontId="0" fillId="3" borderId="0" xfId="0" applyNumberFormat="1" applyFill="1"/>
    <xf numFmtId="3" fontId="0" fillId="4" borderId="0" xfId="0" applyNumberFormat="1" applyFill="1"/>
    <xf numFmtId="3" fontId="0" fillId="0" borderId="0" xfId="0" applyNumberFormat="1"/>
    <xf numFmtId="0" fontId="1" fillId="0" borderId="0" xfId="0" applyFont="1"/>
    <xf numFmtId="0" fontId="0" fillId="0" borderId="0" xfId="0"/>
    <xf numFmtId="0" fontId="4" fillId="0" borderId="0" xfId="0" applyFont="1"/>
    <xf numFmtId="0" fontId="8" fillId="9" borderId="0" xfId="0" applyFont="1" applyFill="1" applyAlignment="1">
      <alignment horizontal="center" vertical="center"/>
    </xf>
    <xf numFmtId="0" fontId="7" fillId="8" borderId="4" xfId="0" applyFont="1" applyFill="1" applyBorder="1" applyAlignment="1">
      <alignment horizontal="center"/>
    </xf>
  </cellXfs>
  <cellStyles count="1">
    <cellStyle name="Normal" xfId="0" builtinId="0"/>
  </cellStyles>
  <dxfs count="46"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D15" sqref="D15"/>
    </sheetView>
  </sheetViews>
  <sheetFormatPr defaultRowHeight="15" x14ac:dyDescent="0.25"/>
  <cols>
    <col min="1" max="1" width="45" customWidth="1"/>
    <col min="2" max="2" width="25" customWidth="1"/>
    <col min="3" max="3" width="28" customWidth="1"/>
    <col min="4" max="4" width="26" customWidth="1"/>
    <col min="5" max="5" width="20" customWidth="1"/>
    <col min="6" max="6" width="27.5703125" customWidth="1"/>
  </cols>
  <sheetData>
    <row r="1" spans="1:6" ht="20.25" x14ac:dyDescent="0.3">
      <c r="A1" s="29" t="s">
        <v>0</v>
      </c>
      <c r="B1" s="30"/>
      <c r="C1" s="30"/>
      <c r="D1" s="30"/>
      <c r="E1" s="30"/>
      <c r="F1" s="30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2" t="s">
        <v>8</v>
      </c>
      <c r="C4" s="3">
        <v>0</v>
      </c>
      <c r="D4" s="4">
        <v>15500</v>
      </c>
      <c r="E4" s="5">
        <f t="shared" ref="E4:E18" si="0">C4-D4</f>
        <v>-15500</v>
      </c>
      <c r="F4" s="2" t="str">
        <f t="shared" ref="F4:F18" si="1">IF(E4&lt;0,"We Owe Them (Payable)",IF(E4&gt;0,"They Owe Us (Receivable)","Settled"))</f>
        <v>We Owe Them (Payable)</v>
      </c>
    </row>
    <row r="5" spans="1:6" x14ac:dyDescent="0.25">
      <c r="A5" s="2" t="s">
        <v>9</v>
      </c>
      <c r="B5" s="2" t="s">
        <v>10</v>
      </c>
      <c r="C5" s="3">
        <v>0</v>
      </c>
      <c r="D5" s="4">
        <v>262000</v>
      </c>
      <c r="E5" s="5">
        <f>(C5-D5)+E4</f>
        <v>-277500</v>
      </c>
      <c r="F5" s="2" t="str">
        <f t="shared" si="1"/>
        <v>We Owe Them (Payable)</v>
      </c>
    </row>
    <row r="6" spans="1:6" x14ac:dyDescent="0.25">
      <c r="A6" s="2" t="s">
        <v>11</v>
      </c>
      <c r="B6" s="2" t="s">
        <v>12</v>
      </c>
      <c r="C6" s="3">
        <v>0</v>
      </c>
      <c r="D6" s="4">
        <v>80000</v>
      </c>
      <c r="E6" s="5">
        <f t="shared" ref="E6:E15" si="2">(C6-D6)+E5</f>
        <v>-357500</v>
      </c>
      <c r="F6" s="2" t="str">
        <f t="shared" si="1"/>
        <v>We Owe Them (Payable)</v>
      </c>
    </row>
    <row r="7" spans="1:6" x14ac:dyDescent="0.25">
      <c r="A7" s="2" t="s">
        <v>13</v>
      </c>
      <c r="B7" s="2" t="s">
        <v>14</v>
      </c>
      <c r="C7" s="3">
        <v>0</v>
      </c>
      <c r="D7" s="4">
        <v>80000</v>
      </c>
      <c r="E7" s="5">
        <f t="shared" si="2"/>
        <v>-437500</v>
      </c>
      <c r="F7" s="2" t="str">
        <f t="shared" si="1"/>
        <v>We Owe Them (Payable)</v>
      </c>
    </row>
    <row r="8" spans="1:6" x14ac:dyDescent="0.25">
      <c r="A8" s="2" t="s">
        <v>15</v>
      </c>
      <c r="B8" s="2" t="s">
        <v>16</v>
      </c>
      <c r="C8" s="3">
        <v>0</v>
      </c>
      <c r="D8" s="4">
        <v>150000</v>
      </c>
      <c r="E8" s="5">
        <f t="shared" si="2"/>
        <v>-587500</v>
      </c>
      <c r="F8" s="2" t="str">
        <f t="shared" si="1"/>
        <v>We Owe Them (Payable)</v>
      </c>
    </row>
    <row r="9" spans="1:6" x14ac:dyDescent="0.25">
      <c r="A9" s="2" t="s">
        <v>17</v>
      </c>
      <c r="B9" s="2" t="s">
        <v>16</v>
      </c>
      <c r="C9" s="3">
        <v>0</v>
      </c>
      <c r="D9" s="4">
        <v>50000</v>
      </c>
      <c r="E9" s="5">
        <f t="shared" si="2"/>
        <v>-637500</v>
      </c>
      <c r="F9" s="2" t="str">
        <f t="shared" si="1"/>
        <v>We Owe Them (Payable)</v>
      </c>
    </row>
    <row r="10" spans="1:6" x14ac:dyDescent="0.25">
      <c r="A10" s="2" t="s">
        <v>18</v>
      </c>
      <c r="B10" s="2" t="s">
        <v>19</v>
      </c>
      <c r="C10" s="3">
        <v>0</v>
      </c>
      <c r="D10" s="4">
        <v>10000</v>
      </c>
      <c r="E10" s="5">
        <f t="shared" si="2"/>
        <v>-647500</v>
      </c>
      <c r="F10" s="2" t="str">
        <f t="shared" si="1"/>
        <v>We Owe Them (Payable)</v>
      </c>
    </row>
    <row r="11" spans="1:6" x14ac:dyDescent="0.25">
      <c r="A11" s="2" t="s">
        <v>20</v>
      </c>
      <c r="B11" s="2" t="s">
        <v>21</v>
      </c>
      <c r="C11" s="3">
        <v>0</v>
      </c>
      <c r="D11" s="4">
        <v>47000</v>
      </c>
      <c r="E11" s="5">
        <f t="shared" si="2"/>
        <v>-694500</v>
      </c>
      <c r="F11" s="2" t="str">
        <f t="shared" si="1"/>
        <v>We Owe Them (Payable)</v>
      </c>
    </row>
    <row r="12" spans="1:6" x14ac:dyDescent="0.25">
      <c r="A12" s="2" t="s">
        <v>22</v>
      </c>
      <c r="B12" s="2" t="s">
        <v>23</v>
      </c>
      <c r="C12" s="3">
        <v>0</v>
      </c>
      <c r="D12" s="4">
        <v>16000</v>
      </c>
      <c r="E12" s="5">
        <f t="shared" si="2"/>
        <v>-710500</v>
      </c>
      <c r="F12" s="2" t="str">
        <f t="shared" si="1"/>
        <v>We Owe Them (Payable)</v>
      </c>
    </row>
    <row r="13" spans="1:6" x14ac:dyDescent="0.25">
      <c r="A13" s="2" t="s">
        <v>24</v>
      </c>
      <c r="B13" s="2" t="s">
        <v>8</v>
      </c>
      <c r="C13" s="3">
        <v>0</v>
      </c>
      <c r="D13" s="4">
        <v>22000</v>
      </c>
      <c r="E13" s="5">
        <f t="shared" si="2"/>
        <v>-732500</v>
      </c>
      <c r="F13" s="2" t="str">
        <f t="shared" si="1"/>
        <v>We Owe Them (Payable)</v>
      </c>
    </row>
    <row r="14" spans="1:6" x14ac:dyDescent="0.25">
      <c r="A14" s="2" t="s">
        <v>123</v>
      </c>
      <c r="B14" s="2" t="s">
        <v>124</v>
      </c>
      <c r="C14" s="3"/>
      <c r="D14" s="4">
        <v>25000</v>
      </c>
      <c r="E14" s="5">
        <f t="shared" si="2"/>
        <v>-757500</v>
      </c>
      <c r="F14" s="2" t="str">
        <f t="shared" si="1"/>
        <v>We Owe Them (Payable)</v>
      </c>
    </row>
    <row r="15" spans="1:6" x14ac:dyDescent="0.25">
      <c r="A15" s="2" t="s">
        <v>25</v>
      </c>
      <c r="B15" s="2" t="s">
        <v>8</v>
      </c>
      <c r="C15" s="3">
        <v>0</v>
      </c>
      <c r="D15" s="4">
        <v>20000</v>
      </c>
      <c r="E15" s="5">
        <f t="shared" si="2"/>
        <v>-777500</v>
      </c>
      <c r="F15" s="2" t="str">
        <f t="shared" si="1"/>
        <v>We Owe Them (Payable)</v>
      </c>
    </row>
    <row r="16" spans="1:6" x14ac:dyDescent="0.25">
      <c r="C16" s="26"/>
      <c r="D16" s="27"/>
      <c r="E16" s="28"/>
      <c r="F16" s="2" t="str">
        <f t="shared" si="1"/>
        <v>Settled</v>
      </c>
    </row>
    <row r="17" spans="1:6" x14ac:dyDescent="0.25">
      <c r="C17" s="26"/>
      <c r="D17" s="27"/>
      <c r="E17" s="28"/>
      <c r="F17" s="2" t="str">
        <f t="shared" si="1"/>
        <v>Settled</v>
      </c>
    </row>
    <row r="18" spans="1:6" x14ac:dyDescent="0.25">
      <c r="A18" s="6" t="s">
        <v>26</v>
      </c>
      <c r="B18" s="7"/>
      <c r="C18" s="8">
        <f>SUM(C4:C15)</f>
        <v>0</v>
      </c>
      <c r="D18" s="8">
        <f>SUM(D4:D15)</f>
        <v>777500</v>
      </c>
      <c r="E18" s="8">
        <f t="shared" si="0"/>
        <v>-777500</v>
      </c>
      <c r="F18" s="2" t="str">
        <f t="shared" si="1"/>
        <v>We Owe Them (Payable)</v>
      </c>
    </row>
  </sheetData>
  <mergeCells count="1">
    <mergeCell ref="A1:F1"/>
  </mergeCells>
  <conditionalFormatting sqref="E4:E18">
    <cfRule type="cellIs" dxfId="45" priority="1" operator="greaterThan">
      <formula>0</formula>
    </cfRule>
    <cfRule type="cellIs" dxfId="44" priority="2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A6" sqref="A6"/>
    </sheetView>
  </sheetViews>
  <sheetFormatPr defaultRowHeight="15" x14ac:dyDescent="0.25"/>
  <cols>
    <col min="1" max="1" width="41" customWidth="1"/>
    <col min="2" max="2" width="48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27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34</v>
      </c>
      <c r="C4" s="3">
        <v>0</v>
      </c>
      <c r="D4" s="4">
        <v>15500</v>
      </c>
      <c r="E4" s="5">
        <f>C4-D4</f>
        <v>-15500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15500</v>
      </c>
      <c r="E15" s="8">
        <f>C15-D15</f>
        <v>-15500</v>
      </c>
    </row>
  </sheetData>
  <mergeCells count="1">
    <mergeCell ref="A1:E1"/>
  </mergeCells>
  <conditionalFormatting sqref="C4:C14">
    <cfRule type="cellIs" dxfId="43" priority="1" operator="greaterThan">
      <formula>0</formula>
    </cfRule>
  </conditionalFormatting>
  <conditionalFormatting sqref="D4:D14">
    <cfRule type="cellIs" dxfId="42" priority="2" operator="lessThan">
      <formula>0</formula>
    </cfRule>
  </conditionalFormatting>
  <conditionalFormatting sqref="E15">
    <cfRule type="cellIs" dxfId="41" priority="3" operator="greaterThan">
      <formula>0</formula>
    </cfRule>
    <cfRule type="cellIs" dxfId="40" priority="3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sqref="A1:E1"/>
    </sheetView>
  </sheetViews>
  <sheetFormatPr defaultRowHeight="15" x14ac:dyDescent="0.25"/>
  <cols>
    <col min="1" max="1" width="49" customWidth="1"/>
    <col min="2" max="2" width="43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36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37</v>
      </c>
      <c r="C4" s="3">
        <v>0</v>
      </c>
      <c r="D4" s="4">
        <v>100000</v>
      </c>
      <c r="E4" s="5">
        <f>C4-D4</f>
        <v>-100000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100000</v>
      </c>
      <c r="E15" s="8">
        <f>C15-D15</f>
        <v>-100000</v>
      </c>
    </row>
  </sheetData>
  <mergeCells count="1">
    <mergeCell ref="A1:E1"/>
  </mergeCells>
  <conditionalFormatting sqref="C4:C14">
    <cfRule type="cellIs" dxfId="39" priority="1" operator="greaterThan">
      <formula>0</formula>
    </cfRule>
  </conditionalFormatting>
  <conditionalFormatting sqref="D4:D14">
    <cfRule type="cellIs" dxfId="38" priority="2" operator="lessThan">
      <formula>0</formula>
    </cfRule>
  </conditionalFormatting>
  <conditionalFormatting sqref="E15">
    <cfRule type="cellIs" dxfId="37" priority="3" operator="greaterThan">
      <formula>0</formula>
    </cfRule>
    <cfRule type="cellIs" dxfId="36" priority="3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sqref="A1:E1"/>
    </sheetView>
  </sheetViews>
  <sheetFormatPr defaultRowHeight="15" x14ac:dyDescent="0.25"/>
  <cols>
    <col min="1" max="1" width="34" customWidth="1"/>
    <col min="2" max="2" width="46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38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39</v>
      </c>
      <c r="C4" s="3">
        <v>0</v>
      </c>
      <c r="D4" s="4">
        <v>80000</v>
      </c>
      <c r="E4" s="5">
        <f>C4-D4</f>
        <v>-80000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80000</v>
      </c>
      <c r="E15" s="8">
        <f>C15-D15</f>
        <v>-80000</v>
      </c>
    </row>
  </sheetData>
  <mergeCells count="1">
    <mergeCell ref="A1:E1"/>
  </mergeCells>
  <conditionalFormatting sqref="C4:C14">
    <cfRule type="cellIs" dxfId="35" priority="1" operator="greaterThan">
      <formula>0</formula>
    </cfRule>
  </conditionalFormatting>
  <conditionalFormatting sqref="D4:D14">
    <cfRule type="cellIs" dxfId="34" priority="2" operator="lessThan">
      <formula>0</formula>
    </cfRule>
  </conditionalFormatting>
  <conditionalFormatting sqref="E15">
    <cfRule type="cellIs" dxfId="33" priority="3" operator="greaterThan">
      <formula>0</formula>
    </cfRule>
    <cfRule type="cellIs" dxfId="32" priority="3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topLeftCell="B1" workbookViewId="0">
      <selection activeCell="H1" sqref="H1"/>
    </sheetView>
  </sheetViews>
  <sheetFormatPr defaultRowHeight="15" x14ac:dyDescent="0.25"/>
  <cols>
    <col min="1" max="1" width="42" customWidth="1"/>
    <col min="2" max="2" width="47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40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41</v>
      </c>
      <c r="C4" s="3">
        <v>0</v>
      </c>
      <c r="D4" s="4">
        <v>80000</v>
      </c>
      <c r="E4" s="5">
        <f>C4-D4</f>
        <v>-80000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80000</v>
      </c>
      <c r="E15" s="8">
        <f>C15-D15</f>
        <v>-80000</v>
      </c>
    </row>
  </sheetData>
  <mergeCells count="1">
    <mergeCell ref="A1:E1"/>
  </mergeCells>
  <conditionalFormatting sqref="C4:C14">
    <cfRule type="cellIs" dxfId="31" priority="1" operator="greaterThan">
      <formula>0</formula>
    </cfRule>
  </conditionalFormatting>
  <conditionalFormatting sqref="D4:D14">
    <cfRule type="cellIs" dxfId="30" priority="2" operator="lessThan">
      <formula>0</formula>
    </cfRule>
  </conditionalFormatting>
  <conditionalFormatting sqref="E15">
    <cfRule type="cellIs" dxfId="29" priority="3" operator="greaterThan">
      <formula>0</formula>
    </cfRule>
    <cfRule type="cellIs" dxfId="28" priority="3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sqref="A1:E1"/>
    </sheetView>
  </sheetViews>
  <sheetFormatPr defaultRowHeight="15" x14ac:dyDescent="0.25"/>
  <cols>
    <col min="1" max="1" width="41" customWidth="1"/>
    <col min="2" max="2" width="44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42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43</v>
      </c>
      <c r="C4" s="3">
        <v>0</v>
      </c>
      <c r="D4" s="4">
        <v>150000</v>
      </c>
      <c r="E4" s="5">
        <f>C4-D4</f>
        <v>-150000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150000</v>
      </c>
      <c r="E15" s="8">
        <f>C15-D15</f>
        <v>-150000</v>
      </c>
    </row>
  </sheetData>
  <mergeCells count="1">
    <mergeCell ref="A1:E1"/>
  </mergeCells>
  <conditionalFormatting sqref="C4:C14">
    <cfRule type="cellIs" dxfId="27" priority="1" operator="greaterThan">
      <formula>0</formula>
    </cfRule>
  </conditionalFormatting>
  <conditionalFormatting sqref="D4:D14">
    <cfRule type="cellIs" dxfId="26" priority="2" operator="lessThan">
      <formula>0</formula>
    </cfRule>
  </conditionalFormatting>
  <conditionalFormatting sqref="E15">
    <cfRule type="cellIs" dxfId="25" priority="3" operator="greaterThan">
      <formula>0</formula>
    </cfRule>
    <cfRule type="cellIs" dxfId="24" priority="3" operator="less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sqref="A1:E1"/>
    </sheetView>
  </sheetViews>
  <sheetFormatPr defaultRowHeight="15" x14ac:dyDescent="0.25"/>
  <cols>
    <col min="1" max="1" width="39" customWidth="1"/>
    <col min="2" max="2" width="44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44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43</v>
      </c>
      <c r="C4" s="3">
        <v>0</v>
      </c>
      <c r="D4" s="4">
        <v>50000</v>
      </c>
      <c r="E4" s="5">
        <f>C4-D4</f>
        <v>-50000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50000</v>
      </c>
      <c r="E15" s="8">
        <f>C15-D15</f>
        <v>-50000</v>
      </c>
    </row>
  </sheetData>
  <mergeCells count="1">
    <mergeCell ref="A1:E1"/>
  </mergeCells>
  <conditionalFormatting sqref="C4:C14">
    <cfRule type="cellIs" dxfId="23" priority="1" operator="greaterThan">
      <formula>0</formula>
    </cfRule>
  </conditionalFormatting>
  <conditionalFormatting sqref="D4:D14">
    <cfRule type="cellIs" dxfId="22" priority="2" operator="lessThan">
      <formula>0</formula>
    </cfRule>
  </conditionalFormatting>
  <conditionalFormatting sqref="E15">
    <cfRule type="cellIs" dxfId="21" priority="3" operator="greaterThan">
      <formula>0</formula>
    </cfRule>
    <cfRule type="cellIs" dxfId="20" priority="3" operator="lessThan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>
      <selection sqref="A1:E1"/>
    </sheetView>
  </sheetViews>
  <sheetFormatPr defaultRowHeight="15" x14ac:dyDescent="0.25"/>
  <cols>
    <col min="1" max="2" width="43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45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46</v>
      </c>
      <c r="C4" s="3">
        <v>0</v>
      </c>
      <c r="D4" s="4">
        <v>10000</v>
      </c>
      <c r="E4" s="5">
        <f>C4-D4</f>
        <v>-10000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10000</v>
      </c>
      <c r="E15" s="8">
        <f>C15-D15</f>
        <v>-10000</v>
      </c>
    </row>
  </sheetData>
  <mergeCells count="1">
    <mergeCell ref="A1:E1"/>
  </mergeCells>
  <conditionalFormatting sqref="C4:C14">
    <cfRule type="cellIs" dxfId="19" priority="1" operator="greaterThan">
      <formula>0</formula>
    </cfRule>
  </conditionalFormatting>
  <conditionalFormatting sqref="D4:D14">
    <cfRule type="cellIs" dxfId="18" priority="2" operator="lessThan">
      <formula>0</formula>
    </cfRule>
  </conditionalFormatting>
  <conditionalFormatting sqref="E15">
    <cfRule type="cellIs" dxfId="17" priority="3" operator="greaterThan">
      <formula>0</formula>
    </cfRule>
    <cfRule type="cellIs" dxfId="16" priority="3" operator="lessThan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>
      <selection sqref="A1:E1"/>
    </sheetView>
  </sheetViews>
  <sheetFormatPr defaultRowHeight="15" x14ac:dyDescent="0.25"/>
  <cols>
    <col min="1" max="1" width="36" customWidth="1"/>
    <col min="2" max="2" width="46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47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48</v>
      </c>
      <c r="C4" s="3">
        <v>0</v>
      </c>
      <c r="D4" s="4">
        <v>47000</v>
      </c>
      <c r="E4" s="5">
        <f>C4-D4</f>
        <v>-47000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47000</v>
      </c>
      <c r="E15" s="8">
        <f>C15-D15</f>
        <v>-47000</v>
      </c>
    </row>
  </sheetData>
  <mergeCells count="1">
    <mergeCell ref="A1:E1"/>
  </mergeCells>
  <conditionalFormatting sqref="C4:C14">
    <cfRule type="cellIs" dxfId="15" priority="1" operator="greaterThan">
      <formula>0</formula>
    </cfRule>
  </conditionalFormatting>
  <conditionalFormatting sqref="D4:D14">
    <cfRule type="cellIs" dxfId="14" priority="2" operator="lessThan">
      <formula>0</formula>
    </cfRule>
  </conditionalFormatting>
  <conditionalFormatting sqref="E15">
    <cfRule type="cellIs" dxfId="13" priority="3" operator="greaterThan">
      <formula>0</formula>
    </cfRule>
    <cfRule type="cellIs" dxfId="12" priority="3" operator="lessThan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DBCE-36AF-4258-A066-D44AE7E55F58}">
  <dimension ref="A1:E47"/>
  <sheetViews>
    <sheetView zoomScale="89" workbookViewId="0">
      <selection activeCell="G7" sqref="G7"/>
    </sheetView>
  </sheetViews>
  <sheetFormatPr defaultRowHeight="15" x14ac:dyDescent="0.25"/>
  <cols>
    <col min="1" max="1" width="15" customWidth="1"/>
    <col min="2" max="2" width="75" customWidth="1"/>
    <col min="3" max="5" width="20" customWidth="1"/>
  </cols>
  <sheetData>
    <row r="1" spans="1:5" ht="40.15" customHeight="1" x14ac:dyDescent="0.25">
      <c r="A1" s="32" t="s">
        <v>122</v>
      </c>
      <c r="B1" s="32"/>
      <c r="C1" s="32"/>
      <c r="D1" s="32"/>
      <c r="E1" s="32"/>
    </row>
    <row r="3" spans="1:5" ht="25.15" customHeight="1" x14ac:dyDescent="0.25">
      <c r="A3" s="10" t="s">
        <v>53</v>
      </c>
      <c r="B3" s="10" t="s">
        <v>54</v>
      </c>
      <c r="C3" s="10" t="s">
        <v>55</v>
      </c>
      <c r="D3" s="10" t="s">
        <v>56</v>
      </c>
      <c r="E3" s="10" t="s">
        <v>57</v>
      </c>
    </row>
    <row r="4" spans="1:5" x14ac:dyDescent="0.25">
      <c r="A4" s="11" t="s">
        <v>58</v>
      </c>
      <c r="B4" s="12" t="s">
        <v>59</v>
      </c>
      <c r="C4" s="13">
        <v>5500</v>
      </c>
      <c r="D4" s="14"/>
      <c r="E4" s="15">
        <f>IF(ISNUMBER(C4),C4,0)-IF(ISNUMBER(D4),D4,0)</f>
        <v>5500</v>
      </c>
    </row>
    <row r="5" spans="1:5" x14ac:dyDescent="0.25">
      <c r="A5" s="11" t="s">
        <v>60</v>
      </c>
      <c r="B5" s="12" t="s">
        <v>61</v>
      </c>
      <c r="C5" s="13">
        <v>3000</v>
      </c>
      <c r="D5" s="14"/>
      <c r="E5" s="15">
        <f t="shared" ref="E5:E28" si="0">E4+IF(ISNUMBER(C5),C5,0)-IF(ISNUMBER(D5),D5,0)</f>
        <v>8500</v>
      </c>
    </row>
    <row r="6" spans="1:5" x14ac:dyDescent="0.25">
      <c r="A6" s="11" t="s">
        <v>62</v>
      </c>
      <c r="B6" s="12" t="s">
        <v>63</v>
      </c>
      <c r="C6" s="13">
        <v>3800</v>
      </c>
      <c r="D6" s="14"/>
      <c r="E6" s="15">
        <f t="shared" si="0"/>
        <v>12300</v>
      </c>
    </row>
    <row r="7" spans="1:5" x14ac:dyDescent="0.25">
      <c r="A7" s="11" t="s">
        <v>64</v>
      </c>
      <c r="B7" s="12" t="s">
        <v>65</v>
      </c>
      <c r="C7" s="13">
        <v>4000</v>
      </c>
      <c r="D7" s="14"/>
      <c r="E7" s="15">
        <f t="shared" si="0"/>
        <v>16300</v>
      </c>
    </row>
    <row r="8" spans="1:5" x14ac:dyDescent="0.25">
      <c r="A8" s="11" t="s">
        <v>66</v>
      </c>
      <c r="B8" s="12" t="s">
        <v>67</v>
      </c>
      <c r="C8" s="13">
        <v>3300</v>
      </c>
      <c r="D8" s="14"/>
      <c r="E8" s="15">
        <f t="shared" si="0"/>
        <v>19600</v>
      </c>
    </row>
    <row r="9" spans="1:5" x14ac:dyDescent="0.25">
      <c r="A9" s="11" t="s">
        <v>68</v>
      </c>
      <c r="B9" s="12" t="s">
        <v>69</v>
      </c>
      <c r="C9" s="13">
        <v>3000</v>
      </c>
      <c r="D9" s="14"/>
      <c r="E9" s="15">
        <f t="shared" si="0"/>
        <v>22600</v>
      </c>
    </row>
    <row r="10" spans="1:5" x14ac:dyDescent="0.25">
      <c r="A10" s="11" t="s">
        <v>70</v>
      </c>
      <c r="B10" s="12" t="s">
        <v>71</v>
      </c>
      <c r="C10" s="13">
        <v>3000</v>
      </c>
      <c r="D10" s="14"/>
      <c r="E10" s="15">
        <f t="shared" si="0"/>
        <v>25600</v>
      </c>
    </row>
    <row r="11" spans="1:5" x14ac:dyDescent="0.25">
      <c r="A11" s="11" t="s">
        <v>70</v>
      </c>
      <c r="B11" s="12" t="s">
        <v>72</v>
      </c>
      <c r="C11" s="13">
        <v>2000</v>
      </c>
      <c r="D11" s="14"/>
      <c r="E11" s="15">
        <f t="shared" si="0"/>
        <v>27600</v>
      </c>
    </row>
    <row r="12" spans="1:5" x14ac:dyDescent="0.25">
      <c r="A12" s="11" t="s">
        <v>60</v>
      </c>
      <c r="B12" s="12" t="s">
        <v>73</v>
      </c>
      <c r="C12" s="13">
        <v>2229</v>
      </c>
      <c r="D12" s="14"/>
      <c r="E12" s="15">
        <f t="shared" si="0"/>
        <v>29829</v>
      </c>
    </row>
    <row r="13" spans="1:5" x14ac:dyDescent="0.25">
      <c r="A13" s="16" t="s">
        <v>74</v>
      </c>
      <c r="B13" s="17" t="s">
        <v>75</v>
      </c>
      <c r="C13" s="18"/>
      <c r="D13" s="19">
        <v>5860</v>
      </c>
      <c r="E13" s="20">
        <f t="shared" si="0"/>
        <v>23969</v>
      </c>
    </row>
    <row r="14" spans="1:5" x14ac:dyDescent="0.25">
      <c r="A14" s="16" t="s">
        <v>76</v>
      </c>
      <c r="B14" s="17" t="s">
        <v>77</v>
      </c>
      <c r="C14" s="18"/>
      <c r="D14" s="19">
        <v>11678</v>
      </c>
      <c r="E14" s="20">
        <f t="shared" si="0"/>
        <v>12291</v>
      </c>
    </row>
    <row r="15" spans="1:5" x14ac:dyDescent="0.25">
      <c r="A15" s="11" t="s">
        <v>78</v>
      </c>
      <c r="B15" s="12" t="s">
        <v>79</v>
      </c>
      <c r="C15" s="13">
        <v>10000</v>
      </c>
      <c r="D15" s="14"/>
      <c r="E15" s="15">
        <f t="shared" si="0"/>
        <v>22291</v>
      </c>
    </row>
    <row r="16" spans="1:5" x14ac:dyDescent="0.25">
      <c r="A16" s="11" t="s">
        <v>80</v>
      </c>
      <c r="B16" s="12" t="s">
        <v>81</v>
      </c>
      <c r="C16" s="13">
        <v>2000</v>
      </c>
      <c r="D16" s="14"/>
      <c r="E16" s="15">
        <f t="shared" si="0"/>
        <v>24291</v>
      </c>
    </row>
    <row r="17" spans="1:5" x14ac:dyDescent="0.25">
      <c r="A17" s="16" t="s">
        <v>60</v>
      </c>
      <c r="B17" s="17" t="s">
        <v>82</v>
      </c>
      <c r="C17" s="18"/>
      <c r="D17" s="19">
        <v>500</v>
      </c>
      <c r="E17" s="20">
        <f t="shared" si="0"/>
        <v>23791</v>
      </c>
    </row>
    <row r="18" spans="1:5" x14ac:dyDescent="0.25">
      <c r="A18" s="11" t="s">
        <v>83</v>
      </c>
      <c r="B18" s="12" t="s">
        <v>84</v>
      </c>
      <c r="C18" s="13">
        <v>1925</v>
      </c>
      <c r="D18" s="14"/>
      <c r="E18" s="15">
        <f t="shared" si="0"/>
        <v>25716</v>
      </c>
    </row>
    <row r="19" spans="1:5" x14ac:dyDescent="0.25">
      <c r="A19" s="11" t="s">
        <v>85</v>
      </c>
      <c r="B19" s="12" t="s">
        <v>86</v>
      </c>
      <c r="C19" s="13">
        <v>2200</v>
      </c>
      <c r="D19" s="14"/>
      <c r="E19" s="15">
        <f t="shared" si="0"/>
        <v>27916</v>
      </c>
    </row>
    <row r="20" spans="1:5" x14ac:dyDescent="0.25">
      <c r="A20" s="11" t="s">
        <v>87</v>
      </c>
      <c r="B20" s="12" t="s">
        <v>88</v>
      </c>
      <c r="C20" s="13">
        <v>1955</v>
      </c>
      <c r="D20" s="14"/>
      <c r="E20" s="15">
        <f t="shared" si="0"/>
        <v>29871</v>
      </c>
    </row>
    <row r="21" spans="1:5" x14ac:dyDescent="0.25">
      <c r="A21" s="11" t="s">
        <v>89</v>
      </c>
      <c r="B21" s="12" t="s">
        <v>90</v>
      </c>
      <c r="C21" s="13"/>
      <c r="D21" s="14">
        <v>26391</v>
      </c>
      <c r="E21" s="15">
        <f t="shared" si="0"/>
        <v>3480</v>
      </c>
    </row>
    <row r="22" spans="1:5" x14ac:dyDescent="0.25">
      <c r="A22" s="21" t="s">
        <v>91</v>
      </c>
      <c r="B22" s="12" t="s">
        <v>92</v>
      </c>
      <c r="C22" s="13"/>
      <c r="D22" s="14">
        <v>3000</v>
      </c>
      <c r="E22" s="15">
        <f t="shared" si="0"/>
        <v>480</v>
      </c>
    </row>
    <row r="23" spans="1:5" x14ac:dyDescent="0.25">
      <c r="A23" s="21" t="s">
        <v>91</v>
      </c>
      <c r="B23" s="12" t="s">
        <v>93</v>
      </c>
      <c r="C23" s="13">
        <v>292</v>
      </c>
      <c r="D23" s="14"/>
      <c r="E23" s="15">
        <f t="shared" si="0"/>
        <v>772</v>
      </c>
    </row>
    <row r="24" spans="1:5" x14ac:dyDescent="0.25">
      <c r="A24" s="11" t="s">
        <v>94</v>
      </c>
      <c r="B24" s="12" t="s">
        <v>95</v>
      </c>
      <c r="C24" s="13"/>
      <c r="D24" s="14">
        <v>1375</v>
      </c>
      <c r="E24" s="15">
        <f t="shared" si="0"/>
        <v>-603</v>
      </c>
    </row>
    <row r="25" spans="1:5" x14ac:dyDescent="0.25">
      <c r="A25" s="11" t="s">
        <v>96</v>
      </c>
      <c r="B25" s="12" t="s">
        <v>97</v>
      </c>
      <c r="C25" s="13">
        <v>11000</v>
      </c>
      <c r="D25" s="14"/>
      <c r="E25" s="15">
        <f t="shared" si="0"/>
        <v>10397</v>
      </c>
    </row>
    <row r="26" spans="1:5" x14ac:dyDescent="0.25">
      <c r="A26" s="11" t="s">
        <v>96</v>
      </c>
      <c r="B26" s="12" t="s">
        <v>98</v>
      </c>
      <c r="C26" s="13">
        <v>8000</v>
      </c>
      <c r="D26" s="14"/>
      <c r="E26" s="15">
        <f t="shared" si="0"/>
        <v>18397</v>
      </c>
    </row>
    <row r="27" spans="1:5" x14ac:dyDescent="0.25">
      <c r="A27" s="11" t="s">
        <v>96</v>
      </c>
      <c r="B27" s="12" t="s">
        <v>99</v>
      </c>
      <c r="C27" s="13"/>
      <c r="D27" s="14">
        <v>1000</v>
      </c>
      <c r="E27" s="15">
        <f t="shared" si="0"/>
        <v>17397</v>
      </c>
    </row>
    <row r="28" spans="1:5" x14ac:dyDescent="0.25">
      <c r="A28" s="22">
        <v>45757</v>
      </c>
      <c r="B28" s="12" t="s">
        <v>100</v>
      </c>
      <c r="C28" s="13">
        <v>175</v>
      </c>
      <c r="D28" s="14"/>
      <c r="E28" s="15">
        <f t="shared" si="0"/>
        <v>17572</v>
      </c>
    </row>
    <row r="29" spans="1:5" x14ac:dyDescent="0.25">
      <c r="A29" s="16" t="s">
        <v>101</v>
      </c>
      <c r="B29" s="17" t="s">
        <v>102</v>
      </c>
      <c r="C29" s="18"/>
      <c r="D29" s="19">
        <v>18896</v>
      </c>
      <c r="E29" s="20">
        <f>E19+IF(ISNUMBER(C29),C29,0)-IF(ISNUMBER(D29),D29,0)</f>
        <v>9020</v>
      </c>
    </row>
    <row r="30" spans="1:5" x14ac:dyDescent="0.25">
      <c r="A30" s="16" t="s">
        <v>101</v>
      </c>
      <c r="B30" s="17" t="s">
        <v>103</v>
      </c>
      <c r="C30" s="18"/>
      <c r="D30" s="19">
        <v>2676</v>
      </c>
      <c r="E30" s="20">
        <f t="shared" ref="E30:E36" si="1">E29+IF(ISNUMBER(C30),C30,0)-IF(ISNUMBER(D30),D30,0)</f>
        <v>6344</v>
      </c>
    </row>
    <row r="31" spans="1:5" x14ac:dyDescent="0.25">
      <c r="A31" s="16" t="s">
        <v>60</v>
      </c>
      <c r="B31" s="17" t="s">
        <v>104</v>
      </c>
      <c r="C31" s="18"/>
      <c r="D31" s="19">
        <v>16000</v>
      </c>
      <c r="E31" s="20">
        <f t="shared" si="1"/>
        <v>-9656</v>
      </c>
    </row>
    <row r="32" spans="1:5" x14ac:dyDescent="0.25">
      <c r="A32" s="16" t="s">
        <v>60</v>
      </c>
      <c r="B32" s="17" t="s">
        <v>105</v>
      </c>
      <c r="C32" s="18"/>
      <c r="D32" s="19">
        <v>400</v>
      </c>
      <c r="E32" s="20">
        <f t="shared" si="1"/>
        <v>-10056</v>
      </c>
    </row>
    <row r="33" spans="1:5" x14ac:dyDescent="0.25">
      <c r="A33" s="16" t="s">
        <v>60</v>
      </c>
      <c r="B33" s="17" t="s">
        <v>106</v>
      </c>
      <c r="C33" s="18"/>
      <c r="D33" s="19">
        <v>463</v>
      </c>
      <c r="E33" s="20">
        <f t="shared" si="1"/>
        <v>-10519</v>
      </c>
    </row>
    <row r="34" spans="1:5" x14ac:dyDescent="0.25">
      <c r="A34" s="11" t="s">
        <v>60</v>
      </c>
      <c r="B34" s="12" t="s">
        <v>107</v>
      </c>
      <c r="C34" s="13">
        <v>10000</v>
      </c>
      <c r="D34" s="14"/>
      <c r="E34" s="15">
        <f t="shared" si="1"/>
        <v>-519</v>
      </c>
    </row>
    <row r="35" spans="1:5" x14ac:dyDescent="0.25">
      <c r="A35" s="11" t="s">
        <v>108</v>
      </c>
      <c r="B35" s="12" t="s">
        <v>107</v>
      </c>
      <c r="C35" s="13">
        <v>10000</v>
      </c>
      <c r="D35" s="14"/>
      <c r="E35" s="15">
        <f t="shared" si="1"/>
        <v>9481</v>
      </c>
    </row>
    <row r="36" spans="1:5" x14ac:dyDescent="0.25">
      <c r="A36" s="11" t="s">
        <v>60</v>
      </c>
      <c r="B36" s="12" t="s">
        <v>109</v>
      </c>
      <c r="C36" s="13">
        <v>500</v>
      </c>
      <c r="D36" s="14"/>
      <c r="E36" s="15">
        <f t="shared" si="1"/>
        <v>9981</v>
      </c>
    </row>
    <row r="37" spans="1:5" x14ac:dyDescent="0.25">
      <c r="A37" s="33" t="s">
        <v>110</v>
      </c>
      <c r="B37" s="33"/>
      <c r="C37" s="33"/>
      <c r="D37" s="33"/>
      <c r="E37" s="33"/>
    </row>
    <row r="38" spans="1:5" x14ac:dyDescent="0.25">
      <c r="A38" s="16" t="s">
        <v>60</v>
      </c>
      <c r="B38" s="17" t="s">
        <v>111</v>
      </c>
      <c r="C38" s="18"/>
      <c r="D38" s="19">
        <v>23500</v>
      </c>
      <c r="E38" s="20">
        <f>E36+IF(ISNUMBER(C38),C38,0)-IF(ISNUMBER(D38),D38,0)</f>
        <v>-13519</v>
      </c>
    </row>
    <row r="39" spans="1:5" x14ac:dyDescent="0.25">
      <c r="A39" s="16" t="s">
        <v>60</v>
      </c>
      <c r="B39" s="17" t="s">
        <v>112</v>
      </c>
      <c r="C39" s="18"/>
      <c r="D39" s="19">
        <v>2375</v>
      </c>
      <c r="E39" s="20">
        <f t="shared" ref="E39:E44" si="2">E38+IF(ISNUMBER(C39),C39,0)-IF(ISNUMBER(D39),D39,0)</f>
        <v>-15894</v>
      </c>
    </row>
    <row r="40" spans="1:5" x14ac:dyDescent="0.25">
      <c r="A40" s="11" t="s">
        <v>60</v>
      </c>
      <c r="B40" s="12" t="s">
        <v>113</v>
      </c>
      <c r="C40" s="13">
        <v>19000</v>
      </c>
      <c r="D40" s="14"/>
      <c r="E40" s="15">
        <f t="shared" si="2"/>
        <v>3106</v>
      </c>
    </row>
    <row r="41" spans="1:5" x14ac:dyDescent="0.25">
      <c r="A41" s="11" t="s">
        <v>60</v>
      </c>
      <c r="B41" s="12" t="s">
        <v>114</v>
      </c>
      <c r="C41" s="13">
        <v>17070</v>
      </c>
      <c r="D41" s="14"/>
      <c r="E41" s="15">
        <f t="shared" si="2"/>
        <v>20176</v>
      </c>
    </row>
    <row r="42" spans="1:5" x14ac:dyDescent="0.25">
      <c r="A42" s="16" t="s">
        <v>60</v>
      </c>
      <c r="B42" s="17" t="s">
        <v>115</v>
      </c>
      <c r="C42" s="18"/>
      <c r="D42" s="19">
        <v>3262</v>
      </c>
      <c r="E42" s="20">
        <f t="shared" si="2"/>
        <v>16914</v>
      </c>
    </row>
    <row r="43" spans="1:5" x14ac:dyDescent="0.25">
      <c r="A43" s="16" t="s">
        <v>60</v>
      </c>
      <c r="B43" s="17" t="s">
        <v>116</v>
      </c>
      <c r="C43" s="18"/>
      <c r="D43" s="19">
        <v>570</v>
      </c>
      <c r="E43" s="20">
        <f t="shared" si="2"/>
        <v>16344</v>
      </c>
    </row>
    <row r="44" spans="1:5" x14ac:dyDescent="0.25">
      <c r="A44" s="11" t="s">
        <v>117</v>
      </c>
      <c r="B44" s="12" t="s">
        <v>118</v>
      </c>
      <c r="C44" s="13">
        <v>5000</v>
      </c>
      <c r="D44" s="14"/>
      <c r="E44" s="15">
        <f t="shared" si="2"/>
        <v>21344</v>
      </c>
    </row>
    <row r="45" spans="1:5" ht="15.75" thickBot="1" x14ac:dyDescent="0.3">
      <c r="B45" s="23" t="s">
        <v>119</v>
      </c>
      <c r="C45" s="24">
        <f>SUM(C4:C44)</f>
        <v>128946</v>
      </c>
    </row>
    <row r="46" spans="1:5" ht="16.5" thickTop="1" thickBot="1" x14ac:dyDescent="0.3">
      <c r="B46" s="23" t="s">
        <v>120</v>
      </c>
      <c r="D46" s="24">
        <f>SUM(D4:D44)</f>
        <v>117946</v>
      </c>
    </row>
    <row r="47" spans="1:5" ht="16.5" thickTop="1" thickBot="1" x14ac:dyDescent="0.3">
      <c r="B47" s="23" t="s">
        <v>121</v>
      </c>
      <c r="E47" s="25">
        <f>C45-D46</f>
        <v>11000</v>
      </c>
    </row>
  </sheetData>
  <mergeCells count="2">
    <mergeCell ref="A1:E1"/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>
      <selection sqref="A1:E1"/>
    </sheetView>
  </sheetViews>
  <sheetFormatPr defaultRowHeight="15" x14ac:dyDescent="0.25"/>
  <cols>
    <col min="1" max="1" width="56" customWidth="1"/>
    <col min="2" max="2" width="48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49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50</v>
      </c>
      <c r="C4" s="3">
        <v>0</v>
      </c>
      <c r="D4" s="4">
        <v>16000</v>
      </c>
      <c r="E4" s="5">
        <f>C4-D4</f>
        <v>-16000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16000</v>
      </c>
      <c r="E15" s="8">
        <f>C15-D15</f>
        <v>-16000</v>
      </c>
    </row>
  </sheetData>
  <mergeCells count="1">
    <mergeCell ref="A1:E1"/>
  </mergeCells>
  <conditionalFormatting sqref="C4:C14">
    <cfRule type="cellIs" dxfId="11" priority="1" operator="greaterThan">
      <formula>0</formula>
    </cfRule>
  </conditionalFormatting>
  <conditionalFormatting sqref="D4:D14">
    <cfRule type="cellIs" dxfId="10" priority="2" operator="lessThan">
      <formula>0</formula>
    </cfRule>
  </conditionalFormatting>
  <conditionalFormatting sqref="E15">
    <cfRule type="cellIs" dxfId="9" priority="3" operator="greaterThan">
      <formula>0</formula>
    </cfRule>
    <cfRule type="cellIs" dxfId="8" priority="3" operator="lessThan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zoomScale="75" workbookViewId="0">
      <selection activeCell="B19" sqref="B19"/>
    </sheetView>
  </sheetViews>
  <sheetFormatPr defaultRowHeight="15" x14ac:dyDescent="0.25"/>
  <cols>
    <col min="1" max="1" width="45" customWidth="1"/>
    <col min="2" max="2" width="48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51</v>
      </c>
      <c r="B1" s="30"/>
      <c r="C1" s="30"/>
      <c r="D1" s="30"/>
      <c r="E1" s="30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34</v>
      </c>
      <c r="C4" s="3">
        <v>0</v>
      </c>
      <c r="D4" s="4">
        <v>22000</v>
      </c>
      <c r="E4" s="5">
        <f>C4-D4</f>
        <v>-22000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x14ac:dyDescent="0.25">
      <c r="A15" s="6" t="s">
        <v>35</v>
      </c>
      <c r="B15" s="7"/>
      <c r="C15" s="8">
        <f>SUM(C4:C14)</f>
        <v>0</v>
      </c>
      <c r="D15" s="8">
        <f>SUM(D4:D14)</f>
        <v>22000</v>
      </c>
      <c r="E15" s="8">
        <f>C15-D15</f>
        <v>-22000</v>
      </c>
    </row>
  </sheetData>
  <mergeCells count="1">
    <mergeCell ref="A1:E1"/>
  </mergeCells>
  <conditionalFormatting sqref="C4:C14">
    <cfRule type="cellIs" dxfId="7" priority="1" operator="greaterThan">
      <formula>0</formula>
    </cfRule>
  </conditionalFormatting>
  <conditionalFormatting sqref="D4:D14">
    <cfRule type="cellIs" dxfId="6" priority="2" operator="lessThan">
      <formula>0</formula>
    </cfRule>
  </conditionalFormatting>
  <conditionalFormatting sqref="E15">
    <cfRule type="cellIs" dxfId="5" priority="3" operator="greaterThan">
      <formula>0</formula>
    </cfRule>
    <cfRule type="cellIs" dxfId="4" priority="3" operator="lessThan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selection activeCell="H17" sqref="H17"/>
    </sheetView>
  </sheetViews>
  <sheetFormatPr defaultRowHeight="15" x14ac:dyDescent="0.25"/>
  <cols>
    <col min="1" max="1" width="46" customWidth="1"/>
    <col min="2" max="2" width="48" customWidth="1"/>
    <col min="3" max="3" width="25" customWidth="1"/>
    <col min="4" max="4" width="29" customWidth="1"/>
    <col min="5" max="5" width="67" customWidth="1"/>
  </cols>
  <sheetData>
    <row r="1" spans="1:5" ht="18" x14ac:dyDescent="0.25">
      <c r="A1" s="31" t="s">
        <v>52</v>
      </c>
      <c r="B1" s="31"/>
      <c r="C1" s="31"/>
      <c r="D1" s="31"/>
      <c r="E1" s="31"/>
    </row>
    <row r="3" spans="1:5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spans="1:5" x14ac:dyDescent="0.25">
      <c r="A4" s="2" t="s">
        <v>33</v>
      </c>
      <c r="B4" s="2" t="s">
        <v>34</v>
      </c>
      <c r="C4" s="3">
        <v>0</v>
      </c>
      <c r="D4" s="4">
        <v>20000</v>
      </c>
      <c r="E4" s="5">
        <f>C4-D4</f>
        <v>-20000</v>
      </c>
    </row>
    <row r="5" spans="1:5" x14ac:dyDescent="0.25">
      <c r="A5" s="2"/>
      <c r="B5" s="2"/>
      <c r="C5" s="5"/>
      <c r="D5" s="5"/>
      <c r="E5" s="5" t="str">
        <f t="shared" ref="E5:E14" si="0">IF(AND(C5="",D5=""),"",E4+IF(C5="",0,C5)-IF(D5="",0,D5))</f>
        <v/>
      </c>
    </row>
    <row r="6" spans="1:5" x14ac:dyDescent="0.25">
      <c r="A6" s="2"/>
      <c r="B6" s="2"/>
      <c r="C6" s="5"/>
      <c r="D6" s="5"/>
      <c r="E6" s="5" t="str">
        <f t="shared" si="0"/>
        <v/>
      </c>
    </row>
    <row r="7" spans="1:5" x14ac:dyDescent="0.25">
      <c r="A7" s="2"/>
      <c r="B7" s="2"/>
      <c r="C7" s="5"/>
      <c r="D7" s="5"/>
      <c r="E7" s="5" t="str">
        <f t="shared" si="0"/>
        <v/>
      </c>
    </row>
    <row r="8" spans="1:5" x14ac:dyDescent="0.25">
      <c r="A8" s="2"/>
      <c r="B8" s="2"/>
      <c r="C8" s="5"/>
      <c r="D8" s="5"/>
      <c r="E8" s="5" t="str">
        <f t="shared" si="0"/>
        <v/>
      </c>
    </row>
    <row r="9" spans="1:5" x14ac:dyDescent="0.25">
      <c r="A9" s="2"/>
      <c r="B9" s="2"/>
      <c r="C9" s="5"/>
      <c r="D9" s="5"/>
      <c r="E9" s="5" t="str">
        <f t="shared" si="0"/>
        <v/>
      </c>
    </row>
    <row r="10" spans="1:5" x14ac:dyDescent="0.25">
      <c r="A10" s="2"/>
      <c r="B10" s="2"/>
      <c r="C10" s="5"/>
      <c r="D10" s="5"/>
      <c r="E10" s="5" t="str">
        <f t="shared" si="0"/>
        <v/>
      </c>
    </row>
    <row r="11" spans="1:5" x14ac:dyDescent="0.25">
      <c r="A11" s="2"/>
      <c r="B11" s="2"/>
      <c r="C11" s="5"/>
      <c r="D11" s="5"/>
      <c r="E11" s="5" t="str">
        <f t="shared" si="0"/>
        <v/>
      </c>
    </row>
    <row r="12" spans="1:5" x14ac:dyDescent="0.25">
      <c r="A12" s="2"/>
      <c r="B12" s="2"/>
      <c r="C12" s="5"/>
      <c r="D12" s="5"/>
      <c r="E12" s="5" t="str">
        <f t="shared" si="0"/>
        <v/>
      </c>
    </row>
    <row r="13" spans="1:5" x14ac:dyDescent="0.25">
      <c r="A13" s="2"/>
      <c r="B13" s="2"/>
      <c r="C13" s="5"/>
      <c r="D13" s="5"/>
      <c r="E13" s="5" t="str">
        <f t="shared" si="0"/>
        <v/>
      </c>
    </row>
    <row r="14" spans="1:5" x14ac:dyDescent="0.25">
      <c r="A14" s="2"/>
      <c r="B14" s="2"/>
      <c r="C14" s="5"/>
      <c r="D14" s="5"/>
      <c r="E14" s="5" t="str">
        <f t="shared" si="0"/>
        <v/>
      </c>
    </row>
    <row r="15" spans="1:5" ht="15.75" thickBot="1" x14ac:dyDescent="0.3">
      <c r="A15" s="6" t="s">
        <v>35</v>
      </c>
      <c r="B15" s="7"/>
      <c r="C15" s="8">
        <f>SUM(C4:C14)</f>
        <v>0</v>
      </c>
      <c r="D15" s="8">
        <f>SUM(D4:D14)</f>
        <v>20000</v>
      </c>
      <c r="E15" s="8">
        <f>C15-D15</f>
        <v>-20000</v>
      </c>
    </row>
  </sheetData>
  <mergeCells count="1">
    <mergeCell ref="A1:E1"/>
  </mergeCells>
  <conditionalFormatting sqref="C4:C14">
    <cfRule type="cellIs" dxfId="3" priority="1" operator="greaterThan">
      <formula>0</formula>
    </cfRule>
  </conditionalFormatting>
  <conditionalFormatting sqref="D4:D14">
    <cfRule type="cellIs" dxfId="2" priority="2" operator="lessThan">
      <formula>0</formula>
    </cfRule>
  </conditionalFormatting>
  <conditionalFormatting sqref="E15">
    <cfRule type="cellIs" dxfId="1" priority="3" operator="greaterThan">
      <formula>0</formula>
    </cfRule>
    <cfRule type="cellIs" dxfId="0" priority="3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 Dashboard</vt:lpstr>
      <vt:lpstr>Hajji Talib</vt:lpstr>
      <vt:lpstr>Chacha Muhammad Ali</vt:lpstr>
      <vt:lpstr>Mafo</vt:lpstr>
      <vt:lpstr>Salma Phopho</vt:lpstr>
      <vt:lpstr>Shahid Bhai</vt:lpstr>
      <vt:lpstr>Mamu Arif</vt:lpstr>
      <vt:lpstr>Rubina Phuphi</vt:lpstr>
      <vt:lpstr>Qurban</vt:lpstr>
      <vt:lpstr>Chacha Muhammad Baig Ledger</vt:lpstr>
      <vt:lpstr>Shahshah Sajjad</vt:lpstr>
      <vt:lpstr>Muhammad Tahoor</vt:lpstr>
      <vt:lpstr>Rana Abdulrehman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 MUHAMMAD ASAD MUSTAFA</cp:lastModifiedBy>
  <dcterms:created xsi:type="dcterms:W3CDTF">2026-07-31T15:30:40Z</dcterms:created>
  <dcterms:modified xsi:type="dcterms:W3CDTF">2026-08-30T01:41:42Z</dcterms:modified>
</cp:coreProperties>
</file>